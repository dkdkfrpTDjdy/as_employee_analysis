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829CE2-5CF9-455B-9384-BC75A4207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9" r:id="rId1"/>
    <sheet name="직급별현황_25.05" sheetId="10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0" l="1"/>
  <c r="C8" i="10"/>
  <c r="C13" i="10"/>
  <c r="C12" i="10"/>
  <c r="C11" i="10"/>
  <c r="C10" i="10"/>
  <c r="C7" i="10"/>
  <c r="C6" i="10"/>
  <c r="C5" i="10"/>
  <c r="C15" i="10"/>
  <c r="C9" i="10" l="1"/>
  <c r="C4" i="10"/>
  <c r="C19" i="10" l="1"/>
  <c r="D10" i="10" l="1"/>
  <c r="D9" i="10"/>
  <c r="D19" i="10" l="1"/>
  <c r="D18" i="10" l="1"/>
  <c r="D8" i="10" l="1"/>
  <c r="D16" i="10"/>
  <c r="D13" i="10"/>
  <c r="D17" i="10"/>
  <c r="D15" i="10"/>
  <c r="D4" i="10"/>
  <c r="D12" i="10"/>
  <c r="D11" i="10"/>
  <c r="D14" i="10"/>
  <c r="D7" i="10"/>
  <c r="D6" i="10"/>
  <c r="D5" i="10"/>
</calcChain>
</file>

<file path=xl/sharedStrings.xml><?xml version="1.0" encoding="utf-8"?>
<sst xmlns="http://schemas.openxmlformats.org/spreadsheetml/2006/main" count="643" uniqueCount="179">
  <si>
    <t>주임</t>
  </si>
  <si>
    <t>사원</t>
  </si>
  <si>
    <t>사번</t>
    <phoneticPr fontId="1" type="noConversion"/>
  </si>
  <si>
    <t>비고</t>
    <phoneticPr fontId="1" type="noConversion"/>
  </si>
  <si>
    <t>선임</t>
  </si>
  <si>
    <t>전임</t>
  </si>
  <si>
    <t>AWP 1파트</t>
  </si>
  <si>
    <t>AWP 2파트</t>
  </si>
  <si>
    <t>AWP 3파트</t>
  </si>
  <si>
    <t>FL 1파트</t>
  </si>
  <si>
    <t>FL 2파트</t>
  </si>
  <si>
    <t>AWP</t>
  </si>
  <si>
    <t>FL</t>
  </si>
  <si>
    <t>총합계</t>
  </si>
  <si>
    <t>부장</t>
  </si>
  <si>
    <t>인원</t>
    <phoneticPr fontId="1" type="noConversion"/>
  </si>
  <si>
    <t>구분</t>
    <phoneticPr fontId="1" type="noConversion"/>
  </si>
  <si>
    <t>비율</t>
    <phoneticPr fontId="1" type="noConversion"/>
  </si>
  <si>
    <t>선임</t>
    <phoneticPr fontId="1" type="noConversion"/>
  </si>
  <si>
    <t>AWP 4파트</t>
  </si>
  <si>
    <t>AWP 5파트</t>
  </si>
  <si>
    <t>AWP 6파트</t>
  </si>
  <si>
    <t>◆ 직급별 분포_25.05 기준</t>
    <phoneticPr fontId="1" type="noConversion"/>
  </si>
  <si>
    <t>운영</t>
    <phoneticPr fontId="1" type="noConversion"/>
  </si>
  <si>
    <t>책임</t>
    <phoneticPr fontId="1" type="noConversion"/>
  </si>
  <si>
    <t>인턴 3명 포함</t>
    <phoneticPr fontId="1" type="noConversion"/>
  </si>
  <si>
    <t>FL 3파트</t>
  </si>
  <si>
    <t>FL 4파트</t>
  </si>
  <si>
    <t>FL 5파트</t>
  </si>
  <si>
    <t>FL 6파트</t>
  </si>
  <si>
    <t>이름</t>
    <phoneticPr fontId="1" type="noConversion"/>
  </si>
  <si>
    <t>직급</t>
    <phoneticPr fontId="1" type="noConversion"/>
  </si>
  <si>
    <t>담당</t>
    <phoneticPr fontId="1" type="noConversion"/>
  </si>
  <si>
    <t>직책</t>
    <phoneticPr fontId="1" type="noConversion"/>
  </si>
  <si>
    <t>김무현</t>
    <phoneticPr fontId="1" type="noConversion"/>
  </si>
  <si>
    <t>부장</t>
    <phoneticPr fontId="1" type="noConversion"/>
  </si>
  <si>
    <t>센터장/운영팀장</t>
    <phoneticPr fontId="1" type="noConversion"/>
  </si>
  <si>
    <t>김성민</t>
    <phoneticPr fontId="1" type="noConversion"/>
  </si>
  <si>
    <t>주임</t>
    <phoneticPr fontId="1" type="noConversion"/>
  </si>
  <si>
    <t>운영</t>
  </si>
  <si>
    <t>팀원</t>
    <phoneticPr fontId="1" type="noConversion"/>
  </si>
  <si>
    <t>유민우</t>
    <phoneticPr fontId="1" type="noConversion"/>
  </si>
  <si>
    <t>이정희</t>
    <phoneticPr fontId="1" type="noConversion"/>
  </si>
  <si>
    <t>사원</t>
    <phoneticPr fontId="1" type="noConversion"/>
  </si>
  <si>
    <t>김재훈</t>
    <phoneticPr fontId="1" type="noConversion"/>
  </si>
  <si>
    <t>최소영</t>
    <phoneticPr fontId="1" type="noConversion"/>
  </si>
  <si>
    <t>박현중</t>
  </si>
  <si>
    <t>AWP</t>
    <phoneticPr fontId="1" type="noConversion"/>
  </si>
  <si>
    <t>팀장/2파트장</t>
    <phoneticPr fontId="1" type="noConversion"/>
  </si>
  <si>
    <t>장동문</t>
  </si>
  <si>
    <t>전임</t>
    <phoneticPr fontId="1" type="noConversion"/>
  </si>
  <si>
    <t>1파트장</t>
    <phoneticPr fontId="1" type="noConversion"/>
  </si>
  <si>
    <t>송용희</t>
  </si>
  <si>
    <t>팀원</t>
  </si>
  <si>
    <t>허민</t>
  </si>
  <si>
    <t>김재환</t>
  </si>
  <si>
    <t>정종일</t>
  </si>
  <si>
    <t>김다운</t>
    <phoneticPr fontId="1" type="noConversion"/>
  </si>
  <si>
    <t>권대민</t>
    <phoneticPr fontId="1" type="noConversion"/>
  </si>
  <si>
    <t>김준기</t>
    <phoneticPr fontId="1" type="noConversion"/>
  </si>
  <si>
    <t>조민수</t>
    <phoneticPr fontId="1" type="noConversion"/>
  </si>
  <si>
    <t>이동일</t>
    <phoneticPr fontId="1" type="noConversion"/>
  </si>
  <si>
    <t>정종선</t>
  </si>
  <si>
    <t>김주훈</t>
    <phoneticPr fontId="1" type="noConversion"/>
  </si>
  <si>
    <t>신섭준</t>
    <phoneticPr fontId="1" type="noConversion"/>
  </si>
  <si>
    <t>정태진</t>
    <phoneticPr fontId="1" type="noConversion"/>
  </si>
  <si>
    <t>최병윤</t>
    <phoneticPr fontId="1" type="noConversion"/>
  </si>
  <si>
    <t>현찬영</t>
    <phoneticPr fontId="1" type="noConversion"/>
  </si>
  <si>
    <t>김주현</t>
  </si>
  <si>
    <t>3파트장</t>
    <phoneticPr fontId="1" type="noConversion"/>
  </si>
  <si>
    <t>안영기</t>
  </si>
  <si>
    <t>현병찬</t>
  </si>
  <si>
    <t>이화중</t>
    <phoneticPr fontId="1" type="noConversion"/>
  </si>
  <si>
    <t>곽유빈</t>
    <phoneticPr fontId="1" type="noConversion"/>
  </si>
  <si>
    <t>김권혁</t>
    <phoneticPr fontId="1" type="noConversion"/>
  </si>
  <si>
    <t>장준환</t>
    <phoneticPr fontId="1" type="noConversion"/>
  </si>
  <si>
    <t>유승제</t>
    <phoneticPr fontId="1" type="noConversion"/>
  </si>
  <si>
    <t>권혁윤</t>
  </si>
  <si>
    <t>4파트장</t>
    <phoneticPr fontId="1" type="noConversion"/>
  </si>
  <si>
    <t>고정주</t>
  </si>
  <si>
    <t>김성태</t>
    <phoneticPr fontId="1" type="noConversion"/>
  </si>
  <si>
    <t>박일</t>
    <phoneticPr fontId="1" type="noConversion"/>
  </si>
  <si>
    <t>박군기</t>
    <phoneticPr fontId="1" type="noConversion"/>
  </si>
  <si>
    <t>원경연</t>
    <phoneticPr fontId="1" type="noConversion"/>
  </si>
  <si>
    <t>이홍희</t>
    <phoneticPr fontId="1" type="noConversion"/>
  </si>
  <si>
    <t>이명길</t>
    <phoneticPr fontId="1" type="noConversion"/>
  </si>
  <si>
    <t>5파트장</t>
    <phoneticPr fontId="1" type="noConversion"/>
  </si>
  <si>
    <t>정명섭</t>
    <phoneticPr fontId="1" type="noConversion"/>
  </si>
  <si>
    <t>서세민</t>
  </si>
  <si>
    <t>박경삼</t>
  </si>
  <si>
    <t>강해규</t>
  </si>
  <si>
    <t>권오인</t>
    <phoneticPr fontId="1" type="noConversion"/>
  </si>
  <si>
    <t>김영광</t>
    <phoneticPr fontId="1" type="noConversion"/>
  </si>
  <si>
    <t>정선명</t>
    <phoneticPr fontId="1" type="noConversion"/>
  </si>
  <si>
    <t>강민규</t>
  </si>
  <si>
    <t>6파트장</t>
    <phoneticPr fontId="1" type="noConversion"/>
  </si>
  <si>
    <t>황세하</t>
  </si>
  <si>
    <t>이명섭</t>
    <phoneticPr fontId="1" type="noConversion"/>
  </si>
  <si>
    <t>하민수</t>
    <phoneticPr fontId="1" type="noConversion"/>
  </si>
  <si>
    <t>백승민</t>
    <phoneticPr fontId="1" type="noConversion"/>
  </si>
  <si>
    <t>김한명</t>
    <phoneticPr fontId="1" type="noConversion"/>
  </si>
  <si>
    <t>FL</t>
    <phoneticPr fontId="1" type="noConversion"/>
  </si>
  <si>
    <t>팀장</t>
    <phoneticPr fontId="1" type="noConversion"/>
  </si>
  <si>
    <t>좌모세</t>
  </si>
  <si>
    <t>이상민</t>
  </si>
  <si>
    <t>김지운</t>
    <phoneticPr fontId="1" type="noConversion"/>
  </si>
  <si>
    <t>이현규</t>
    <phoneticPr fontId="1" type="noConversion"/>
  </si>
  <si>
    <t>이태협</t>
    <phoneticPr fontId="1" type="noConversion"/>
  </si>
  <si>
    <t>이승현</t>
    <phoneticPr fontId="1" type="noConversion"/>
  </si>
  <si>
    <t>장현길</t>
    <phoneticPr fontId="1" type="noConversion"/>
  </si>
  <si>
    <t>김규덕</t>
    <phoneticPr fontId="1" type="noConversion"/>
  </si>
  <si>
    <t>이호석</t>
    <phoneticPr fontId="1" type="noConversion"/>
  </si>
  <si>
    <t>조현수</t>
    <phoneticPr fontId="1" type="noConversion"/>
  </si>
  <si>
    <t>박진수</t>
    <phoneticPr fontId="1" type="noConversion"/>
  </si>
  <si>
    <t>김용휘</t>
    <phoneticPr fontId="1" type="noConversion"/>
  </si>
  <si>
    <t>이경민</t>
    <phoneticPr fontId="1" type="noConversion"/>
  </si>
  <si>
    <t>손민우</t>
    <phoneticPr fontId="1" type="noConversion"/>
  </si>
  <si>
    <t>인턴</t>
    <phoneticPr fontId="1" type="noConversion"/>
  </si>
  <si>
    <t>송재호</t>
  </si>
  <si>
    <t>2파트장</t>
    <phoneticPr fontId="1" type="noConversion"/>
  </si>
  <si>
    <t>이현우</t>
    <phoneticPr fontId="1" type="noConversion"/>
  </si>
  <si>
    <t>최정석</t>
    <phoneticPr fontId="1" type="noConversion"/>
  </si>
  <si>
    <t>안성협</t>
    <phoneticPr fontId="1" type="noConversion"/>
  </si>
  <si>
    <t>이완기</t>
    <phoneticPr fontId="1" type="noConversion"/>
  </si>
  <si>
    <t>김인호</t>
    <phoneticPr fontId="1" type="noConversion"/>
  </si>
  <si>
    <t>김동민</t>
    <phoneticPr fontId="1" type="noConversion"/>
  </si>
  <si>
    <t>유용현</t>
    <phoneticPr fontId="1" type="noConversion"/>
  </si>
  <si>
    <t>최승집</t>
    <phoneticPr fontId="1" type="noConversion"/>
  </si>
  <si>
    <t>김승균</t>
    <phoneticPr fontId="1" type="noConversion"/>
  </si>
  <si>
    <t>홍기우</t>
    <phoneticPr fontId="1" type="noConversion"/>
  </si>
  <si>
    <t>정다민</t>
  </si>
  <si>
    <t>이재익</t>
  </si>
  <si>
    <t>지진환</t>
    <phoneticPr fontId="1" type="noConversion"/>
  </si>
  <si>
    <t>김남현</t>
    <phoneticPr fontId="1" type="noConversion"/>
  </si>
  <si>
    <t>송지광</t>
    <phoneticPr fontId="1" type="noConversion"/>
  </si>
  <si>
    <t>이상진</t>
    <phoneticPr fontId="1" type="noConversion"/>
  </si>
  <si>
    <t>천귀성</t>
    <phoneticPr fontId="1" type="noConversion"/>
  </si>
  <si>
    <t>김원근</t>
    <phoneticPr fontId="1" type="noConversion"/>
  </si>
  <si>
    <t>강신유</t>
    <phoneticPr fontId="1" type="noConversion"/>
  </si>
  <si>
    <t>김인섭</t>
    <phoneticPr fontId="1" type="noConversion"/>
  </si>
  <si>
    <t>정현우</t>
  </si>
  <si>
    <t>정한기</t>
    <phoneticPr fontId="1" type="noConversion"/>
  </si>
  <si>
    <t>이정율</t>
  </si>
  <si>
    <t>신윤주</t>
  </si>
  <si>
    <t>최동수</t>
  </si>
  <si>
    <t>박현</t>
  </si>
  <si>
    <t>한태성</t>
  </si>
  <si>
    <t>허혁준</t>
    <phoneticPr fontId="1" type="noConversion"/>
  </si>
  <si>
    <t>한지승</t>
    <phoneticPr fontId="1" type="noConversion"/>
  </si>
  <si>
    <t>손진하</t>
    <phoneticPr fontId="1" type="noConversion"/>
  </si>
  <si>
    <t>김동영A</t>
    <phoneticPr fontId="1" type="noConversion"/>
  </si>
  <si>
    <t>이동규</t>
    <phoneticPr fontId="1" type="noConversion"/>
  </si>
  <si>
    <t>김재엽</t>
    <phoneticPr fontId="1" type="noConversion"/>
  </si>
  <si>
    <t>황성욱</t>
    <phoneticPr fontId="1" type="noConversion"/>
  </si>
  <si>
    <t>김동영B</t>
    <phoneticPr fontId="1" type="noConversion"/>
  </si>
  <si>
    <t>이정형</t>
    <phoneticPr fontId="1" type="noConversion"/>
  </si>
  <si>
    <t>유용우</t>
  </si>
  <si>
    <t>윤중석</t>
    <phoneticPr fontId="1" type="noConversion"/>
  </si>
  <si>
    <t>최영민</t>
    <phoneticPr fontId="1" type="noConversion"/>
  </si>
  <si>
    <t>황한동</t>
    <phoneticPr fontId="1" type="noConversion"/>
  </si>
  <si>
    <t>류재권</t>
    <phoneticPr fontId="1" type="noConversion"/>
  </si>
  <si>
    <t>김재식</t>
    <phoneticPr fontId="1" type="noConversion"/>
  </si>
  <si>
    <t>최현석</t>
    <phoneticPr fontId="1" type="noConversion"/>
  </si>
  <si>
    <t>조용기</t>
    <phoneticPr fontId="1" type="noConversion"/>
  </si>
  <si>
    <t>유종민</t>
    <phoneticPr fontId="1" type="noConversion"/>
  </si>
  <si>
    <t>문석균</t>
    <phoneticPr fontId="1" type="noConversion"/>
  </si>
  <si>
    <t>김의한</t>
    <phoneticPr fontId="1" type="noConversion"/>
  </si>
  <si>
    <t>이시헌</t>
    <phoneticPr fontId="1" type="noConversion"/>
  </si>
  <si>
    <t>김선엽</t>
  </si>
  <si>
    <t>임경택</t>
  </si>
  <si>
    <t>오승훈</t>
    <phoneticPr fontId="1" type="noConversion"/>
  </si>
  <si>
    <t>김승기</t>
    <phoneticPr fontId="1" type="noConversion"/>
  </si>
  <si>
    <t>장길주</t>
    <phoneticPr fontId="1" type="noConversion"/>
  </si>
  <si>
    <t>김민규</t>
    <phoneticPr fontId="1" type="noConversion"/>
  </si>
  <si>
    <t>배선우</t>
    <phoneticPr fontId="1" type="noConversion"/>
  </si>
  <si>
    <t>조한별</t>
    <phoneticPr fontId="1" type="noConversion"/>
  </si>
  <si>
    <t>건설장비</t>
  </si>
  <si>
    <t>파트</t>
    <phoneticPr fontId="1" type="noConversion"/>
  </si>
  <si>
    <t>건설장비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</si>
</sst>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left" vertical="center" indent="1"/>
    </xf>
    <xf numFmtId="41" fontId="0" fillId="0" borderId="1" xfId="1" applyFont="1" applyBorder="1">
      <alignment vertical="center"/>
    </xf>
    <xf numFmtId="9" fontId="0" fillId="0" borderId="1" xfId="2" applyFont="1" applyBorder="1">
      <alignment vertical="center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41" fontId="0" fillId="0" borderId="4" xfId="1" applyFont="1" applyBorder="1">
      <alignment vertical="center"/>
    </xf>
    <xf numFmtId="9" fontId="0" fillId="0" borderId="4" xfId="2" applyFont="1" applyBorder="1">
      <alignment vertical="center"/>
    </xf>
    <xf numFmtId="0" fontId="0" fillId="0" borderId="5" xfId="0" applyBorder="1" applyAlignment="1">
      <alignment horizontal="left" vertical="center" indent="1"/>
    </xf>
    <xf numFmtId="41" fontId="0" fillId="0" borderId="5" xfId="1" applyFont="1" applyBorder="1">
      <alignment vertical="center"/>
    </xf>
    <xf numFmtId="9" fontId="0" fillId="0" borderId="5" xfId="2" applyFont="1" applyBorder="1">
      <alignment vertical="center"/>
    </xf>
    <xf numFmtId="0" fontId="0" fillId="2" borderId="6" xfId="0" applyFill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41" fontId="0" fillId="0" borderId="7" xfId="1" applyFont="1" applyBorder="1">
      <alignment vertical="center"/>
    </xf>
    <xf numFmtId="9" fontId="0" fillId="0" borderId="7" xfId="2" applyFont="1" applyBorder="1">
      <alignment vertical="center"/>
    </xf>
    <xf numFmtId="0" fontId="2" fillId="2" borderId="8" xfId="0" applyFont="1" applyFill="1" applyBorder="1" applyAlignment="1">
      <alignment horizontal="left" vertical="center"/>
    </xf>
    <xf numFmtId="41" fontId="2" fillId="2" borderId="2" xfId="1" applyFont="1" applyFill="1" applyBorder="1">
      <alignment vertical="center"/>
    </xf>
    <xf numFmtId="9" fontId="2" fillId="2" borderId="2" xfId="2" applyFont="1" applyFill="1" applyBorder="1">
      <alignment vertical="center"/>
    </xf>
    <xf numFmtId="0" fontId="0" fillId="0" borderId="9" xfId="0" applyBorder="1" applyAlignment="1">
      <alignment horizontal="left" vertical="center" indent="1"/>
    </xf>
    <xf numFmtId="0" fontId="2" fillId="0" borderId="0" xfId="0" applyFont="1">
      <alignment vertical="center"/>
    </xf>
    <xf numFmtId="41" fontId="0" fillId="0" borderId="3" xfId="1" applyFont="1" applyBorder="1">
      <alignment vertical="center"/>
    </xf>
    <xf numFmtId="9" fontId="0" fillId="0" borderId="3" xfId="2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92" workbookViewId="0">
      <selection sqref="A1:F124"/>
    </sheetView>
  </sheetViews>
  <sheetFormatPr defaultRowHeight="16.5" x14ac:dyDescent="0.3"/>
  <cols>
    <col min="1" max="1" width="8.125" customWidth="1"/>
    <col min="2" max="2" width="16.75" bestFit="1" customWidth="1"/>
    <col min="5" max="5" width="14" bestFit="1" customWidth="1"/>
  </cols>
  <sheetData>
    <row r="1" spans="1:6" x14ac:dyDescent="0.3">
      <c r="A1" s="23" t="s">
        <v>30</v>
      </c>
      <c r="B1" s="23" t="s">
        <v>177</v>
      </c>
      <c r="C1" s="23" t="s">
        <v>31</v>
      </c>
      <c r="D1" s="23" t="s">
        <v>32</v>
      </c>
      <c r="E1" s="23" t="s">
        <v>33</v>
      </c>
      <c r="F1" s="23" t="s">
        <v>2</v>
      </c>
    </row>
    <row r="2" spans="1:6" x14ac:dyDescent="0.3">
      <c r="A2" s="24" t="s">
        <v>34</v>
      </c>
      <c r="B2" s="24" t="s">
        <v>178</v>
      </c>
      <c r="C2" s="25" t="s">
        <v>35</v>
      </c>
      <c r="D2" s="26" t="s">
        <v>23</v>
      </c>
      <c r="E2" s="23" t="s">
        <v>36</v>
      </c>
      <c r="F2" s="24">
        <v>224074</v>
      </c>
    </row>
    <row r="3" spans="1:6" x14ac:dyDescent="0.3">
      <c r="A3" s="27" t="s">
        <v>37</v>
      </c>
      <c r="B3" s="27" t="s">
        <v>176</v>
      </c>
      <c r="C3" s="28" t="s">
        <v>38</v>
      </c>
      <c r="D3" s="27" t="s">
        <v>39</v>
      </c>
      <c r="E3" s="27" t="s">
        <v>40</v>
      </c>
      <c r="F3" s="27">
        <v>223302</v>
      </c>
    </row>
    <row r="4" spans="1:6" x14ac:dyDescent="0.3">
      <c r="A4" s="27" t="s">
        <v>41</v>
      </c>
      <c r="B4" s="27" t="s">
        <v>176</v>
      </c>
      <c r="C4" s="28" t="s">
        <v>38</v>
      </c>
      <c r="D4" s="27" t="s">
        <v>39</v>
      </c>
      <c r="E4" s="27" t="s">
        <v>40</v>
      </c>
      <c r="F4" s="27">
        <v>217456</v>
      </c>
    </row>
    <row r="5" spans="1:6" x14ac:dyDescent="0.3">
      <c r="A5" s="27" t="s">
        <v>42</v>
      </c>
      <c r="B5" s="27" t="s">
        <v>176</v>
      </c>
      <c r="C5" s="28" t="s">
        <v>43</v>
      </c>
      <c r="D5" s="27" t="s">
        <v>39</v>
      </c>
      <c r="E5" s="27" t="s">
        <v>40</v>
      </c>
      <c r="F5" s="27">
        <v>221283</v>
      </c>
    </row>
    <row r="6" spans="1:6" x14ac:dyDescent="0.3">
      <c r="A6" s="27" t="s">
        <v>44</v>
      </c>
      <c r="B6" s="27" t="s">
        <v>176</v>
      </c>
      <c r="C6" s="28" t="s">
        <v>43</v>
      </c>
      <c r="D6" s="27" t="s">
        <v>39</v>
      </c>
      <c r="E6" s="27" t="s">
        <v>40</v>
      </c>
      <c r="F6" s="27">
        <v>223325</v>
      </c>
    </row>
    <row r="7" spans="1:6" x14ac:dyDescent="0.3">
      <c r="A7" s="27" t="s">
        <v>45</v>
      </c>
      <c r="B7" s="27" t="s">
        <v>176</v>
      </c>
      <c r="C7" s="28" t="s">
        <v>38</v>
      </c>
      <c r="D7" s="27" t="s">
        <v>39</v>
      </c>
      <c r="E7" s="27" t="s">
        <v>40</v>
      </c>
      <c r="F7" s="27">
        <v>218392</v>
      </c>
    </row>
    <row r="8" spans="1:6" x14ac:dyDescent="0.3">
      <c r="A8" s="25" t="s">
        <v>46</v>
      </c>
      <c r="B8" s="24" t="s">
        <v>176</v>
      </c>
      <c r="C8" s="25" t="s">
        <v>18</v>
      </c>
      <c r="D8" s="23" t="s">
        <v>47</v>
      </c>
      <c r="E8" s="23" t="s">
        <v>48</v>
      </c>
      <c r="F8" s="24">
        <v>216605</v>
      </c>
    </row>
    <row r="9" spans="1:6" x14ac:dyDescent="0.3">
      <c r="A9" s="29" t="s">
        <v>49</v>
      </c>
      <c r="B9" s="30" t="s">
        <v>6</v>
      </c>
      <c r="C9" s="29" t="s">
        <v>50</v>
      </c>
      <c r="D9" s="31" t="s">
        <v>11</v>
      </c>
      <c r="E9" s="31" t="s">
        <v>51</v>
      </c>
      <c r="F9" s="30">
        <v>214155</v>
      </c>
    </row>
    <row r="10" spans="1:6" x14ac:dyDescent="0.3">
      <c r="A10" s="28" t="s">
        <v>52</v>
      </c>
      <c r="B10" s="27" t="s">
        <v>6</v>
      </c>
      <c r="C10" s="28" t="s">
        <v>50</v>
      </c>
      <c r="D10" s="27" t="s">
        <v>11</v>
      </c>
      <c r="E10" s="27" t="s">
        <v>53</v>
      </c>
      <c r="F10" s="27">
        <v>213293</v>
      </c>
    </row>
    <row r="11" spans="1:6" x14ac:dyDescent="0.3">
      <c r="A11" s="27" t="s">
        <v>54</v>
      </c>
      <c r="B11" s="27" t="s">
        <v>6</v>
      </c>
      <c r="C11" s="28" t="s">
        <v>0</v>
      </c>
      <c r="D11" s="27" t="s">
        <v>11</v>
      </c>
      <c r="E11" s="27" t="s">
        <v>53</v>
      </c>
      <c r="F11" s="27">
        <v>215253</v>
      </c>
    </row>
    <row r="12" spans="1:6" x14ac:dyDescent="0.3">
      <c r="A12" s="28" t="s">
        <v>55</v>
      </c>
      <c r="B12" s="27" t="s">
        <v>6</v>
      </c>
      <c r="C12" s="28" t="s">
        <v>38</v>
      </c>
      <c r="D12" s="27" t="s">
        <v>11</v>
      </c>
      <c r="E12" s="27" t="s">
        <v>53</v>
      </c>
      <c r="F12" s="27">
        <v>216297</v>
      </c>
    </row>
    <row r="13" spans="1:6" x14ac:dyDescent="0.3">
      <c r="A13" s="27" t="s">
        <v>56</v>
      </c>
      <c r="B13" s="27" t="s">
        <v>6</v>
      </c>
      <c r="C13" s="28" t="s">
        <v>38</v>
      </c>
      <c r="D13" s="27" t="s">
        <v>11</v>
      </c>
      <c r="E13" s="27" t="s">
        <v>53</v>
      </c>
      <c r="F13" s="27">
        <v>216902</v>
      </c>
    </row>
    <row r="14" spans="1:6" x14ac:dyDescent="0.3">
      <c r="A14" s="28" t="s">
        <v>57</v>
      </c>
      <c r="B14" s="27" t="s">
        <v>6</v>
      </c>
      <c r="C14" s="28" t="s">
        <v>43</v>
      </c>
      <c r="D14" s="27" t="s">
        <v>11</v>
      </c>
      <c r="E14" s="27" t="s">
        <v>40</v>
      </c>
      <c r="F14" s="27">
        <v>222160</v>
      </c>
    </row>
    <row r="15" spans="1:6" x14ac:dyDescent="0.3">
      <c r="A15" s="28" t="s">
        <v>58</v>
      </c>
      <c r="B15" s="27" t="s">
        <v>6</v>
      </c>
      <c r="C15" s="28" t="s">
        <v>43</v>
      </c>
      <c r="D15" s="27" t="s">
        <v>11</v>
      </c>
      <c r="E15" s="27" t="s">
        <v>40</v>
      </c>
      <c r="F15" s="27">
        <v>224082</v>
      </c>
    </row>
    <row r="16" spans="1:6" x14ac:dyDescent="0.3">
      <c r="A16" s="28" t="s">
        <v>59</v>
      </c>
      <c r="B16" s="27" t="s">
        <v>6</v>
      </c>
      <c r="C16" s="28" t="s">
        <v>43</v>
      </c>
      <c r="D16" s="27" t="s">
        <v>11</v>
      </c>
      <c r="E16" s="27" t="s">
        <v>40</v>
      </c>
      <c r="F16" s="27">
        <v>224165</v>
      </c>
    </row>
    <row r="17" spans="1:6" x14ac:dyDescent="0.3">
      <c r="A17" s="28" t="s">
        <v>60</v>
      </c>
      <c r="B17" s="27" t="s">
        <v>6</v>
      </c>
      <c r="C17" s="28" t="s">
        <v>43</v>
      </c>
      <c r="D17" s="27" t="s">
        <v>11</v>
      </c>
      <c r="E17" s="27" t="s">
        <v>40</v>
      </c>
      <c r="F17" s="27">
        <v>225053</v>
      </c>
    </row>
    <row r="18" spans="1:6" x14ac:dyDescent="0.3">
      <c r="A18" s="28" t="s">
        <v>61</v>
      </c>
      <c r="B18" s="27" t="s">
        <v>7</v>
      </c>
      <c r="C18" s="28" t="s">
        <v>50</v>
      </c>
      <c r="D18" s="27" t="s">
        <v>11</v>
      </c>
      <c r="E18" s="27" t="s">
        <v>40</v>
      </c>
      <c r="F18" s="27">
        <v>215442</v>
      </c>
    </row>
    <row r="19" spans="1:6" x14ac:dyDescent="0.3">
      <c r="A19" s="27" t="s">
        <v>62</v>
      </c>
      <c r="B19" s="27" t="s">
        <v>7</v>
      </c>
      <c r="C19" s="28" t="s">
        <v>38</v>
      </c>
      <c r="D19" s="27" t="s">
        <v>11</v>
      </c>
      <c r="E19" s="27" t="s">
        <v>53</v>
      </c>
      <c r="F19" s="27">
        <v>217639</v>
      </c>
    </row>
    <row r="20" spans="1:6" x14ac:dyDescent="0.3">
      <c r="A20" s="27" t="s">
        <v>63</v>
      </c>
      <c r="B20" s="27" t="s">
        <v>7</v>
      </c>
      <c r="C20" s="28" t="s">
        <v>38</v>
      </c>
      <c r="D20" s="27" t="s">
        <v>11</v>
      </c>
      <c r="E20" s="27" t="s">
        <v>53</v>
      </c>
      <c r="F20" s="27">
        <v>223084</v>
      </c>
    </row>
    <row r="21" spans="1:6" x14ac:dyDescent="0.3">
      <c r="A21" s="27" t="s">
        <v>64</v>
      </c>
      <c r="B21" s="27" t="s">
        <v>7</v>
      </c>
      <c r="C21" s="28" t="s">
        <v>43</v>
      </c>
      <c r="D21" s="27" t="s">
        <v>11</v>
      </c>
      <c r="E21" s="27" t="s">
        <v>53</v>
      </c>
      <c r="F21" s="27">
        <v>221014</v>
      </c>
    </row>
    <row r="22" spans="1:6" x14ac:dyDescent="0.3">
      <c r="A22" s="28" t="s">
        <v>65</v>
      </c>
      <c r="B22" s="27" t="s">
        <v>7</v>
      </c>
      <c r="C22" s="28" t="s">
        <v>43</v>
      </c>
      <c r="D22" s="27" t="s">
        <v>11</v>
      </c>
      <c r="E22" s="27" t="s">
        <v>40</v>
      </c>
      <c r="F22" s="27">
        <v>224166</v>
      </c>
    </row>
    <row r="23" spans="1:6" x14ac:dyDescent="0.3">
      <c r="A23" s="28" t="s">
        <v>66</v>
      </c>
      <c r="B23" s="27" t="s">
        <v>7</v>
      </c>
      <c r="C23" s="28" t="s">
        <v>43</v>
      </c>
      <c r="D23" s="27" t="s">
        <v>11</v>
      </c>
      <c r="E23" s="27" t="s">
        <v>40</v>
      </c>
      <c r="F23" s="27">
        <v>224164</v>
      </c>
    </row>
    <row r="24" spans="1:6" x14ac:dyDescent="0.3">
      <c r="A24" s="28" t="s">
        <v>67</v>
      </c>
      <c r="B24" s="27" t="s">
        <v>7</v>
      </c>
      <c r="C24" s="28" t="s">
        <v>43</v>
      </c>
      <c r="D24" s="27" t="s">
        <v>11</v>
      </c>
      <c r="E24" s="27" t="s">
        <v>40</v>
      </c>
      <c r="F24" s="27">
        <v>250016</v>
      </c>
    </row>
    <row r="25" spans="1:6" x14ac:dyDescent="0.3">
      <c r="A25" s="29" t="s">
        <v>68</v>
      </c>
      <c r="B25" s="30" t="s">
        <v>8</v>
      </c>
      <c r="C25" s="29" t="s">
        <v>18</v>
      </c>
      <c r="D25" s="31" t="s">
        <v>11</v>
      </c>
      <c r="E25" s="31" t="s">
        <v>69</v>
      </c>
      <c r="F25" s="30">
        <v>207021</v>
      </c>
    </row>
    <row r="26" spans="1:6" x14ac:dyDescent="0.3">
      <c r="A26" s="28" t="s">
        <v>70</v>
      </c>
      <c r="B26" s="27" t="s">
        <v>8</v>
      </c>
      <c r="C26" s="28" t="s">
        <v>50</v>
      </c>
      <c r="D26" s="27" t="s">
        <v>11</v>
      </c>
      <c r="E26" s="27" t="s">
        <v>53</v>
      </c>
      <c r="F26" s="27">
        <v>215385</v>
      </c>
    </row>
    <row r="27" spans="1:6" x14ac:dyDescent="0.3">
      <c r="A27" s="27" t="s">
        <v>71</v>
      </c>
      <c r="B27" s="27" t="s">
        <v>8</v>
      </c>
      <c r="C27" s="28" t="s">
        <v>38</v>
      </c>
      <c r="D27" s="27" t="s">
        <v>11</v>
      </c>
      <c r="E27" s="27" t="s">
        <v>53</v>
      </c>
      <c r="F27" s="27">
        <v>218326</v>
      </c>
    </row>
    <row r="28" spans="1:6" x14ac:dyDescent="0.3">
      <c r="A28" s="27" t="s">
        <v>72</v>
      </c>
      <c r="B28" s="27" t="s">
        <v>8</v>
      </c>
      <c r="C28" s="28" t="s">
        <v>43</v>
      </c>
      <c r="D28" s="27" t="s">
        <v>11</v>
      </c>
      <c r="E28" s="27" t="s">
        <v>40</v>
      </c>
      <c r="F28" s="27">
        <v>221423</v>
      </c>
    </row>
    <row r="29" spans="1:6" x14ac:dyDescent="0.3">
      <c r="A29" s="27" t="s">
        <v>73</v>
      </c>
      <c r="B29" s="27" t="s">
        <v>8</v>
      </c>
      <c r="C29" s="28" t="s">
        <v>43</v>
      </c>
      <c r="D29" s="27" t="s">
        <v>11</v>
      </c>
      <c r="E29" s="27" t="s">
        <v>40</v>
      </c>
      <c r="F29" s="27">
        <v>222210</v>
      </c>
    </row>
    <row r="30" spans="1:6" x14ac:dyDescent="0.3">
      <c r="A30" s="27" t="s">
        <v>74</v>
      </c>
      <c r="B30" s="27" t="s">
        <v>8</v>
      </c>
      <c r="C30" s="28" t="s">
        <v>43</v>
      </c>
      <c r="D30" s="27" t="s">
        <v>11</v>
      </c>
      <c r="E30" s="27" t="s">
        <v>40</v>
      </c>
      <c r="F30" s="27">
        <v>223009</v>
      </c>
    </row>
    <row r="31" spans="1:6" x14ac:dyDescent="0.3">
      <c r="A31" s="27" t="s">
        <v>75</v>
      </c>
      <c r="B31" s="27" t="s">
        <v>8</v>
      </c>
      <c r="C31" s="28" t="s">
        <v>43</v>
      </c>
      <c r="D31" s="27" t="s">
        <v>11</v>
      </c>
      <c r="E31" s="27" t="s">
        <v>40</v>
      </c>
      <c r="F31" s="27">
        <v>224071</v>
      </c>
    </row>
    <row r="32" spans="1:6" x14ac:dyDescent="0.3">
      <c r="A32" s="27" t="s">
        <v>76</v>
      </c>
      <c r="B32" s="27" t="s">
        <v>8</v>
      </c>
      <c r="C32" s="28" t="s">
        <v>43</v>
      </c>
      <c r="D32" s="27" t="s">
        <v>11</v>
      </c>
      <c r="E32" s="27" t="s">
        <v>40</v>
      </c>
      <c r="F32" s="27">
        <v>224327</v>
      </c>
    </row>
    <row r="33" spans="1:6" x14ac:dyDescent="0.3">
      <c r="A33" s="29" t="s">
        <v>77</v>
      </c>
      <c r="B33" s="30" t="s">
        <v>19</v>
      </c>
      <c r="C33" s="29" t="s">
        <v>50</v>
      </c>
      <c r="D33" s="31" t="s">
        <v>11</v>
      </c>
      <c r="E33" s="31" t="s">
        <v>78</v>
      </c>
      <c r="F33" s="30">
        <v>211073</v>
      </c>
    </row>
    <row r="34" spans="1:6" x14ac:dyDescent="0.3">
      <c r="A34" s="28" t="s">
        <v>79</v>
      </c>
      <c r="B34" s="27" t="s">
        <v>19</v>
      </c>
      <c r="C34" s="28" t="s">
        <v>50</v>
      </c>
      <c r="D34" s="27" t="s">
        <v>11</v>
      </c>
      <c r="E34" s="27" t="s">
        <v>53</v>
      </c>
      <c r="F34" s="27">
        <v>212308</v>
      </c>
    </row>
    <row r="35" spans="1:6" x14ac:dyDescent="0.3">
      <c r="A35" s="27" t="s">
        <v>80</v>
      </c>
      <c r="B35" s="27" t="s">
        <v>19</v>
      </c>
      <c r="C35" s="28" t="s">
        <v>38</v>
      </c>
      <c r="D35" s="27" t="s">
        <v>11</v>
      </c>
      <c r="E35" s="27" t="s">
        <v>53</v>
      </c>
      <c r="F35" s="27">
        <v>219065</v>
      </c>
    </row>
    <row r="36" spans="1:6" x14ac:dyDescent="0.3">
      <c r="A36" s="27" t="s">
        <v>81</v>
      </c>
      <c r="B36" s="27" t="s">
        <v>19</v>
      </c>
      <c r="C36" s="28" t="s">
        <v>38</v>
      </c>
      <c r="D36" s="27" t="s">
        <v>11</v>
      </c>
      <c r="E36" s="27" t="s">
        <v>40</v>
      </c>
      <c r="F36" s="27">
        <v>221395</v>
      </c>
    </row>
    <row r="37" spans="1:6" x14ac:dyDescent="0.3">
      <c r="A37" s="27" t="s">
        <v>82</v>
      </c>
      <c r="B37" s="27" t="s">
        <v>19</v>
      </c>
      <c r="C37" s="28" t="s">
        <v>43</v>
      </c>
      <c r="D37" s="27" t="s">
        <v>11</v>
      </c>
      <c r="E37" s="27" t="s">
        <v>40</v>
      </c>
      <c r="F37" s="27">
        <v>221178</v>
      </c>
    </row>
    <row r="38" spans="1:6" x14ac:dyDescent="0.3">
      <c r="A38" s="27" t="s">
        <v>83</v>
      </c>
      <c r="B38" s="27" t="s">
        <v>19</v>
      </c>
      <c r="C38" s="28" t="s">
        <v>43</v>
      </c>
      <c r="D38" s="27" t="s">
        <v>11</v>
      </c>
      <c r="E38" s="27" t="s">
        <v>40</v>
      </c>
      <c r="F38" s="27">
        <v>221443</v>
      </c>
    </row>
    <row r="39" spans="1:6" x14ac:dyDescent="0.3">
      <c r="A39" s="27" t="s">
        <v>84</v>
      </c>
      <c r="B39" s="27" t="s">
        <v>19</v>
      </c>
      <c r="C39" s="28" t="s">
        <v>43</v>
      </c>
      <c r="D39" s="27" t="s">
        <v>11</v>
      </c>
      <c r="E39" s="27" t="s">
        <v>40</v>
      </c>
      <c r="F39" s="27">
        <v>225043</v>
      </c>
    </row>
    <row r="40" spans="1:6" x14ac:dyDescent="0.3">
      <c r="A40" s="29" t="s">
        <v>85</v>
      </c>
      <c r="B40" s="30" t="s">
        <v>20</v>
      </c>
      <c r="C40" s="29" t="s">
        <v>4</v>
      </c>
      <c r="D40" s="31" t="s">
        <v>11</v>
      </c>
      <c r="E40" s="31" t="s">
        <v>86</v>
      </c>
      <c r="F40" s="30">
        <v>207036</v>
      </c>
    </row>
    <row r="41" spans="1:6" x14ac:dyDescent="0.3">
      <c r="A41" s="28" t="s">
        <v>87</v>
      </c>
      <c r="B41" s="27" t="s">
        <v>20</v>
      </c>
      <c r="C41" s="28" t="s">
        <v>50</v>
      </c>
      <c r="D41" s="27" t="s">
        <v>11</v>
      </c>
      <c r="E41" s="27" t="s">
        <v>40</v>
      </c>
      <c r="F41" s="27">
        <v>213379</v>
      </c>
    </row>
    <row r="42" spans="1:6" x14ac:dyDescent="0.3">
      <c r="A42" s="28" t="s">
        <v>88</v>
      </c>
      <c r="B42" s="27" t="s">
        <v>20</v>
      </c>
      <c r="C42" s="28" t="s">
        <v>50</v>
      </c>
      <c r="D42" s="27" t="s">
        <v>11</v>
      </c>
      <c r="E42" s="27" t="s">
        <v>40</v>
      </c>
      <c r="F42" s="27">
        <v>215531</v>
      </c>
    </row>
    <row r="43" spans="1:6" x14ac:dyDescent="0.3">
      <c r="A43" s="28" t="s">
        <v>89</v>
      </c>
      <c r="B43" s="27" t="s">
        <v>20</v>
      </c>
      <c r="C43" s="28" t="s">
        <v>50</v>
      </c>
      <c r="D43" s="27" t="s">
        <v>11</v>
      </c>
      <c r="E43" s="27" t="s">
        <v>40</v>
      </c>
      <c r="F43" s="27">
        <v>215397</v>
      </c>
    </row>
    <row r="44" spans="1:6" x14ac:dyDescent="0.3">
      <c r="A44" s="28" t="s">
        <v>90</v>
      </c>
      <c r="B44" s="27" t="s">
        <v>20</v>
      </c>
      <c r="C44" s="28" t="s">
        <v>38</v>
      </c>
      <c r="D44" s="27" t="s">
        <v>11</v>
      </c>
      <c r="E44" s="27" t="s">
        <v>40</v>
      </c>
      <c r="F44" s="27">
        <v>216252</v>
      </c>
    </row>
    <row r="45" spans="1:6" x14ac:dyDescent="0.3">
      <c r="A45" s="28" t="s">
        <v>91</v>
      </c>
      <c r="B45" s="27" t="s">
        <v>20</v>
      </c>
      <c r="C45" s="28" t="s">
        <v>38</v>
      </c>
      <c r="D45" s="27" t="s">
        <v>11</v>
      </c>
      <c r="E45" s="27" t="s">
        <v>40</v>
      </c>
      <c r="F45" s="27">
        <v>222416</v>
      </c>
    </row>
    <row r="46" spans="1:6" x14ac:dyDescent="0.3">
      <c r="A46" s="27" t="s">
        <v>92</v>
      </c>
      <c r="B46" s="27" t="s">
        <v>20</v>
      </c>
      <c r="C46" s="28" t="s">
        <v>43</v>
      </c>
      <c r="D46" s="27" t="s">
        <v>11</v>
      </c>
      <c r="E46" s="27" t="s">
        <v>40</v>
      </c>
      <c r="F46" s="27">
        <v>223366</v>
      </c>
    </row>
    <row r="47" spans="1:6" x14ac:dyDescent="0.3">
      <c r="A47" s="27" t="s">
        <v>93</v>
      </c>
      <c r="B47" s="27" t="s">
        <v>20</v>
      </c>
      <c r="C47" s="28" t="s">
        <v>43</v>
      </c>
      <c r="D47" s="27" t="s">
        <v>11</v>
      </c>
      <c r="E47" s="27" t="s">
        <v>40</v>
      </c>
      <c r="F47" s="27">
        <v>224043</v>
      </c>
    </row>
    <row r="48" spans="1:6" x14ac:dyDescent="0.3">
      <c r="A48" s="29" t="s">
        <v>94</v>
      </c>
      <c r="B48" s="30" t="s">
        <v>21</v>
      </c>
      <c r="C48" s="29" t="s">
        <v>18</v>
      </c>
      <c r="D48" s="31" t="s">
        <v>11</v>
      </c>
      <c r="E48" s="31" t="s">
        <v>95</v>
      </c>
      <c r="F48" s="30">
        <v>209161</v>
      </c>
    </row>
    <row r="49" spans="1:6" x14ac:dyDescent="0.3">
      <c r="A49" s="27" t="s">
        <v>96</v>
      </c>
      <c r="B49" s="27" t="s">
        <v>21</v>
      </c>
      <c r="C49" s="28" t="s">
        <v>50</v>
      </c>
      <c r="D49" s="27" t="s">
        <v>11</v>
      </c>
      <c r="E49" s="27" t="s">
        <v>40</v>
      </c>
      <c r="F49" s="27">
        <v>213440</v>
      </c>
    </row>
    <row r="50" spans="1:6" x14ac:dyDescent="0.3">
      <c r="A50" s="27" t="s">
        <v>97</v>
      </c>
      <c r="B50" s="27" t="s">
        <v>21</v>
      </c>
      <c r="C50" s="28" t="s">
        <v>50</v>
      </c>
      <c r="D50" s="27" t="s">
        <v>11</v>
      </c>
      <c r="E50" s="27" t="s">
        <v>40</v>
      </c>
      <c r="F50" s="27">
        <v>214050</v>
      </c>
    </row>
    <row r="51" spans="1:6" x14ac:dyDescent="0.3">
      <c r="A51" s="27" t="s">
        <v>98</v>
      </c>
      <c r="B51" s="27" t="s">
        <v>21</v>
      </c>
      <c r="C51" s="28" t="s">
        <v>38</v>
      </c>
      <c r="D51" s="27" t="s">
        <v>11</v>
      </c>
      <c r="E51" s="27" t="s">
        <v>40</v>
      </c>
      <c r="F51" s="27">
        <v>218533</v>
      </c>
    </row>
    <row r="52" spans="1:6" x14ac:dyDescent="0.3">
      <c r="A52" s="27" t="s">
        <v>99</v>
      </c>
      <c r="B52" s="27" t="s">
        <v>21</v>
      </c>
      <c r="C52" s="28" t="s">
        <v>43</v>
      </c>
      <c r="D52" s="27" t="s">
        <v>11</v>
      </c>
      <c r="E52" s="27" t="s">
        <v>40</v>
      </c>
      <c r="F52" s="27">
        <v>223343</v>
      </c>
    </row>
    <row r="53" spans="1:6" x14ac:dyDescent="0.3">
      <c r="A53" s="25" t="s">
        <v>100</v>
      </c>
      <c r="B53" s="24" t="s">
        <v>176</v>
      </c>
      <c r="C53" s="25" t="s">
        <v>24</v>
      </c>
      <c r="D53" s="23" t="s">
        <v>101</v>
      </c>
      <c r="E53" s="23" t="s">
        <v>102</v>
      </c>
      <c r="F53" s="24">
        <v>216182</v>
      </c>
    </row>
    <row r="54" spans="1:6" x14ac:dyDescent="0.3">
      <c r="A54" s="29" t="s">
        <v>103</v>
      </c>
      <c r="B54" s="30" t="s">
        <v>9</v>
      </c>
      <c r="C54" s="29" t="s">
        <v>50</v>
      </c>
      <c r="D54" s="31" t="s">
        <v>101</v>
      </c>
      <c r="E54" s="31" t="s">
        <v>51</v>
      </c>
      <c r="F54" s="30">
        <v>216311</v>
      </c>
    </row>
    <row r="55" spans="1:6" x14ac:dyDescent="0.3">
      <c r="A55" s="28" t="s">
        <v>104</v>
      </c>
      <c r="B55" s="27" t="s">
        <v>9</v>
      </c>
      <c r="C55" s="28" t="s">
        <v>38</v>
      </c>
      <c r="D55" s="27" t="s">
        <v>12</v>
      </c>
      <c r="E55" s="27" t="s">
        <v>40</v>
      </c>
      <c r="F55" s="27">
        <v>218039</v>
      </c>
    </row>
    <row r="56" spans="1:6" x14ac:dyDescent="0.3">
      <c r="A56" s="27" t="s">
        <v>105</v>
      </c>
      <c r="B56" s="27" t="s">
        <v>9</v>
      </c>
      <c r="C56" s="28" t="s">
        <v>38</v>
      </c>
      <c r="D56" s="27" t="s">
        <v>12</v>
      </c>
      <c r="E56" s="27" t="s">
        <v>40</v>
      </c>
      <c r="F56" s="27">
        <v>219175</v>
      </c>
    </row>
    <row r="57" spans="1:6" x14ac:dyDescent="0.3">
      <c r="A57" s="28" t="s">
        <v>106</v>
      </c>
      <c r="B57" s="27" t="s">
        <v>9</v>
      </c>
      <c r="C57" s="28" t="s">
        <v>38</v>
      </c>
      <c r="D57" s="27" t="s">
        <v>12</v>
      </c>
      <c r="E57" s="27" t="s">
        <v>40</v>
      </c>
      <c r="F57" s="32">
        <v>219292</v>
      </c>
    </row>
    <row r="58" spans="1:6" x14ac:dyDescent="0.3">
      <c r="A58" s="28" t="s">
        <v>107</v>
      </c>
      <c r="B58" s="27" t="s">
        <v>9</v>
      </c>
      <c r="C58" s="28" t="s">
        <v>38</v>
      </c>
      <c r="D58" s="27" t="s">
        <v>12</v>
      </c>
      <c r="E58" s="27" t="s">
        <v>40</v>
      </c>
      <c r="F58" s="32">
        <v>224220</v>
      </c>
    </row>
    <row r="59" spans="1:6" x14ac:dyDescent="0.3">
      <c r="A59" s="28" t="s">
        <v>108</v>
      </c>
      <c r="B59" s="27" t="s">
        <v>9</v>
      </c>
      <c r="C59" s="28" t="s">
        <v>38</v>
      </c>
      <c r="D59" s="27" t="s">
        <v>12</v>
      </c>
      <c r="E59" s="27" t="s">
        <v>40</v>
      </c>
      <c r="F59" s="32">
        <v>219294</v>
      </c>
    </row>
    <row r="60" spans="1:6" x14ac:dyDescent="0.3">
      <c r="A60" s="27" t="s">
        <v>109</v>
      </c>
      <c r="B60" s="27" t="s">
        <v>9</v>
      </c>
      <c r="C60" s="28" t="s">
        <v>43</v>
      </c>
      <c r="D60" s="27" t="s">
        <v>12</v>
      </c>
      <c r="E60" s="27" t="s">
        <v>53</v>
      </c>
      <c r="F60" s="27">
        <v>221281</v>
      </c>
    </row>
    <row r="61" spans="1:6" x14ac:dyDescent="0.3">
      <c r="A61" s="28" t="s">
        <v>110</v>
      </c>
      <c r="B61" s="27" t="s">
        <v>9</v>
      </c>
      <c r="C61" s="28" t="s">
        <v>38</v>
      </c>
      <c r="D61" s="27" t="s">
        <v>12</v>
      </c>
      <c r="E61" s="27" t="s">
        <v>40</v>
      </c>
      <c r="F61" s="27">
        <v>221362</v>
      </c>
    </row>
    <row r="62" spans="1:6" x14ac:dyDescent="0.3">
      <c r="A62" s="28" t="s">
        <v>111</v>
      </c>
      <c r="B62" s="27" t="s">
        <v>9</v>
      </c>
      <c r="C62" s="28" t="s">
        <v>38</v>
      </c>
      <c r="D62" s="27" t="s">
        <v>12</v>
      </c>
      <c r="E62" s="27" t="s">
        <v>40</v>
      </c>
      <c r="F62" s="27">
        <v>221360</v>
      </c>
    </row>
    <row r="63" spans="1:6" x14ac:dyDescent="0.3">
      <c r="A63" s="28" t="s">
        <v>112</v>
      </c>
      <c r="B63" s="27" t="s">
        <v>9</v>
      </c>
      <c r="C63" s="28" t="s">
        <v>43</v>
      </c>
      <c r="D63" s="27" t="s">
        <v>12</v>
      </c>
      <c r="E63" s="27" t="s">
        <v>40</v>
      </c>
      <c r="F63" s="27">
        <v>221359</v>
      </c>
    </row>
    <row r="64" spans="1:6" x14ac:dyDescent="0.3">
      <c r="A64" s="28" t="s">
        <v>113</v>
      </c>
      <c r="B64" s="27" t="s">
        <v>9</v>
      </c>
      <c r="C64" s="28" t="s">
        <v>43</v>
      </c>
      <c r="D64" s="27" t="s">
        <v>12</v>
      </c>
      <c r="E64" s="27" t="s">
        <v>40</v>
      </c>
      <c r="F64" s="27">
        <v>223205</v>
      </c>
    </row>
    <row r="65" spans="1:6" x14ac:dyDescent="0.3">
      <c r="A65" s="28" t="s">
        <v>114</v>
      </c>
      <c r="B65" s="27" t="s">
        <v>9</v>
      </c>
      <c r="C65" s="28" t="s">
        <v>43</v>
      </c>
      <c r="D65" s="27" t="s">
        <v>12</v>
      </c>
      <c r="E65" s="27" t="s">
        <v>40</v>
      </c>
      <c r="F65" s="27">
        <v>224257</v>
      </c>
    </row>
    <row r="66" spans="1:6" x14ac:dyDescent="0.3">
      <c r="A66" s="28" t="s">
        <v>115</v>
      </c>
      <c r="B66" s="27" t="s">
        <v>9</v>
      </c>
      <c r="C66" s="28" t="s">
        <v>43</v>
      </c>
      <c r="D66" s="27" t="s">
        <v>12</v>
      </c>
      <c r="E66" s="27" t="s">
        <v>40</v>
      </c>
      <c r="F66" s="27">
        <v>225006</v>
      </c>
    </row>
    <row r="67" spans="1:6" x14ac:dyDescent="0.3">
      <c r="A67" s="28" t="s">
        <v>116</v>
      </c>
      <c r="B67" s="27" t="s">
        <v>9</v>
      </c>
      <c r="C67" s="28" t="s">
        <v>117</v>
      </c>
      <c r="D67" s="27" t="s">
        <v>12</v>
      </c>
      <c r="E67" s="27" t="s">
        <v>40</v>
      </c>
      <c r="F67" s="27">
        <v>225092</v>
      </c>
    </row>
    <row r="68" spans="1:6" x14ac:dyDescent="0.3">
      <c r="A68" s="29" t="s">
        <v>118</v>
      </c>
      <c r="B68" s="30" t="s">
        <v>10</v>
      </c>
      <c r="C68" s="29" t="s">
        <v>50</v>
      </c>
      <c r="D68" s="31" t="s">
        <v>12</v>
      </c>
      <c r="E68" s="31" t="s">
        <v>119</v>
      </c>
      <c r="F68" s="30">
        <v>216450</v>
      </c>
    </row>
    <row r="69" spans="1:6" x14ac:dyDescent="0.3">
      <c r="A69" s="28" t="s">
        <v>120</v>
      </c>
      <c r="B69" s="27" t="s">
        <v>10</v>
      </c>
      <c r="C69" s="28" t="s">
        <v>38</v>
      </c>
      <c r="D69" s="27" t="s">
        <v>12</v>
      </c>
      <c r="E69" s="27" t="s">
        <v>40</v>
      </c>
      <c r="F69" s="27">
        <v>218319</v>
      </c>
    </row>
    <row r="70" spans="1:6" x14ac:dyDescent="0.3">
      <c r="A70" s="28" t="s">
        <v>121</v>
      </c>
      <c r="B70" s="27" t="s">
        <v>10</v>
      </c>
      <c r="C70" s="28" t="s">
        <v>38</v>
      </c>
      <c r="D70" s="27" t="s">
        <v>12</v>
      </c>
      <c r="E70" s="27" t="s">
        <v>40</v>
      </c>
      <c r="F70" s="27">
        <v>222062</v>
      </c>
    </row>
    <row r="71" spans="1:6" x14ac:dyDescent="0.3">
      <c r="A71" s="28" t="s">
        <v>122</v>
      </c>
      <c r="B71" s="27" t="s">
        <v>10</v>
      </c>
      <c r="C71" s="28" t="s">
        <v>38</v>
      </c>
      <c r="D71" s="27" t="s">
        <v>12</v>
      </c>
      <c r="E71" s="27" t="s">
        <v>40</v>
      </c>
      <c r="F71" s="27">
        <v>222242</v>
      </c>
    </row>
    <row r="72" spans="1:6" x14ac:dyDescent="0.3">
      <c r="A72" s="28" t="s">
        <v>123</v>
      </c>
      <c r="B72" s="27" t="s">
        <v>10</v>
      </c>
      <c r="C72" s="28" t="s">
        <v>43</v>
      </c>
      <c r="D72" s="27" t="s">
        <v>12</v>
      </c>
      <c r="E72" s="27" t="s">
        <v>40</v>
      </c>
      <c r="F72" s="27">
        <v>224129</v>
      </c>
    </row>
    <row r="73" spans="1:6" x14ac:dyDescent="0.3">
      <c r="A73" s="28" t="s">
        <v>124</v>
      </c>
      <c r="B73" s="27" t="s">
        <v>10</v>
      </c>
      <c r="C73" s="28" t="s">
        <v>43</v>
      </c>
      <c r="D73" s="27" t="s">
        <v>12</v>
      </c>
      <c r="E73" s="27" t="s">
        <v>40</v>
      </c>
      <c r="F73" s="27">
        <v>223008</v>
      </c>
    </row>
    <row r="74" spans="1:6" x14ac:dyDescent="0.3">
      <c r="A74" s="28" t="s">
        <v>125</v>
      </c>
      <c r="B74" s="27" t="s">
        <v>10</v>
      </c>
      <c r="C74" s="28" t="s">
        <v>43</v>
      </c>
      <c r="D74" s="27" t="s">
        <v>12</v>
      </c>
      <c r="E74" s="27" t="s">
        <v>40</v>
      </c>
      <c r="F74" s="27">
        <v>223006</v>
      </c>
    </row>
    <row r="75" spans="1:6" x14ac:dyDescent="0.3">
      <c r="A75" s="28" t="s">
        <v>126</v>
      </c>
      <c r="B75" s="27" t="s">
        <v>10</v>
      </c>
      <c r="C75" s="28" t="s">
        <v>43</v>
      </c>
      <c r="D75" s="27" t="s">
        <v>12</v>
      </c>
      <c r="E75" s="27" t="s">
        <v>40</v>
      </c>
      <c r="F75" s="27">
        <v>223309</v>
      </c>
    </row>
    <row r="76" spans="1:6" x14ac:dyDescent="0.3">
      <c r="A76" s="28" t="s">
        <v>127</v>
      </c>
      <c r="B76" s="27" t="s">
        <v>10</v>
      </c>
      <c r="C76" s="28" t="s">
        <v>43</v>
      </c>
      <c r="D76" s="27" t="s">
        <v>12</v>
      </c>
      <c r="E76" s="27" t="s">
        <v>40</v>
      </c>
      <c r="F76" s="27">
        <v>223342</v>
      </c>
    </row>
    <row r="77" spans="1:6" x14ac:dyDescent="0.3">
      <c r="A77" s="28" t="s">
        <v>128</v>
      </c>
      <c r="B77" s="27" t="s">
        <v>10</v>
      </c>
      <c r="C77" s="28" t="s">
        <v>43</v>
      </c>
      <c r="D77" s="27" t="s">
        <v>12</v>
      </c>
      <c r="E77" s="27" t="s">
        <v>40</v>
      </c>
      <c r="F77" s="27">
        <v>224221</v>
      </c>
    </row>
    <row r="78" spans="1:6" x14ac:dyDescent="0.3">
      <c r="A78" s="28" t="s">
        <v>129</v>
      </c>
      <c r="B78" s="27" t="s">
        <v>10</v>
      </c>
      <c r="C78" s="28" t="s">
        <v>43</v>
      </c>
      <c r="D78" s="27" t="s">
        <v>12</v>
      </c>
      <c r="E78" s="27" t="s">
        <v>40</v>
      </c>
      <c r="F78" s="27">
        <v>225054</v>
      </c>
    </row>
    <row r="79" spans="1:6" x14ac:dyDescent="0.3">
      <c r="A79" s="30" t="s">
        <v>130</v>
      </c>
      <c r="B79" s="30" t="s">
        <v>26</v>
      </c>
      <c r="C79" s="29" t="s">
        <v>38</v>
      </c>
      <c r="D79" s="31" t="s">
        <v>12</v>
      </c>
      <c r="E79" s="31" t="s">
        <v>69</v>
      </c>
      <c r="F79" s="30">
        <v>218395</v>
      </c>
    </row>
    <row r="80" spans="1:6" x14ac:dyDescent="0.3">
      <c r="A80" s="28" t="s">
        <v>131</v>
      </c>
      <c r="B80" s="27" t="s">
        <v>26</v>
      </c>
      <c r="C80" s="28" t="s">
        <v>38</v>
      </c>
      <c r="D80" s="27" t="s">
        <v>12</v>
      </c>
      <c r="E80" s="27" t="s">
        <v>40</v>
      </c>
      <c r="F80" s="27">
        <v>217163</v>
      </c>
    </row>
    <row r="81" spans="1:6" x14ac:dyDescent="0.3">
      <c r="A81" s="28" t="s">
        <v>132</v>
      </c>
      <c r="B81" s="27" t="s">
        <v>26</v>
      </c>
      <c r="C81" s="28" t="s">
        <v>38</v>
      </c>
      <c r="D81" s="27" t="s">
        <v>12</v>
      </c>
      <c r="E81" s="27" t="s">
        <v>40</v>
      </c>
      <c r="F81" s="32">
        <v>219397</v>
      </c>
    </row>
    <row r="82" spans="1:6" x14ac:dyDescent="0.3">
      <c r="A82" s="27" t="s">
        <v>133</v>
      </c>
      <c r="B82" s="27" t="s">
        <v>26</v>
      </c>
      <c r="C82" s="28" t="s">
        <v>38</v>
      </c>
      <c r="D82" s="27" t="s">
        <v>12</v>
      </c>
      <c r="E82" s="27" t="s">
        <v>53</v>
      </c>
      <c r="F82" s="27">
        <v>219431</v>
      </c>
    </row>
    <row r="83" spans="1:6" x14ac:dyDescent="0.3">
      <c r="A83" s="28" t="s">
        <v>134</v>
      </c>
      <c r="B83" s="27" t="s">
        <v>26</v>
      </c>
      <c r="C83" s="28" t="s">
        <v>38</v>
      </c>
      <c r="D83" s="27" t="s">
        <v>12</v>
      </c>
      <c r="E83" s="27" t="s">
        <v>40</v>
      </c>
      <c r="F83" s="32">
        <v>225041</v>
      </c>
    </row>
    <row r="84" spans="1:6" x14ac:dyDescent="0.3">
      <c r="A84" s="28" t="s">
        <v>135</v>
      </c>
      <c r="B84" s="27" t="s">
        <v>26</v>
      </c>
      <c r="C84" s="28" t="s">
        <v>43</v>
      </c>
      <c r="D84" s="27" t="s">
        <v>12</v>
      </c>
      <c r="E84" s="27" t="s">
        <v>40</v>
      </c>
      <c r="F84" s="27">
        <v>224042</v>
      </c>
    </row>
    <row r="85" spans="1:6" x14ac:dyDescent="0.3">
      <c r="A85" s="28" t="s">
        <v>136</v>
      </c>
      <c r="B85" s="27" t="s">
        <v>26</v>
      </c>
      <c r="C85" s="28" t="s">
        <v>43</v>
      </c>
      <c r="D85" s="27" t="s">
        <v>12</v>
      </c>
      <c r="E85" s="27" t="s">
        <v>40</v>
      </c>
      <c r="F85" s="27">
        <v>224196</v>
      </c>
    </row>
    <row r="86" spans="1:6" x14ac:dyDescent="0.3">
      <c r="A86" s="28" t="s">
        <v>137</v>
      </c>
      <c r="B86" s="27" t="s">
        <v>26</v>
      </c>
      <c r="C86" s="28" t="s">
        <v>43</v>
      </c>
      <c r="D86" s="27" t="s">
        <v>12</v>
      </c>
      <c r="E86" s="27" t="s">
        <v>40</v>
      </c>
      <c r="F86" s="27">
        <v>223007</v>
      </c>
    </row>
    <row r="87" spans="1:6" x14ac:dyDescent="0.3">
      <c r="A87" s="28" t="s">
        <v>138</v>
      </c>
      <c r="B87" s="27" t="s">
        <v>26</v>
      </c>
      <c r="C87" s="28" t="s">
        <v>43</v>
      </c>
      <c r="D87" s="27" t="s">
        <v>12</v>
      </c>
      <c r="E87" s="27" t="s">
        <v>40</v>
      </c>
      <c r="F87" s="27">
        <v>223004</v>
      </c>
    </row>
    <row r="88" spans="1:6" x14ac:dyDescent="0.3">
      <c r="A88" s="28" t="s">
        <v>139</v>
      </c>
      <c r="B88" s="27" t="s">
        <v>26</v>
      </c>
      <c r="C88" s="28" t="s">
        <v>43</v>
      </c>
      <c r="D88" s="27" t="s">
        <v>12</v>
      </c>
      <c r="E88" s="27" t="s">
        <v>40</v>
      </c>
      <c r="F88" s="27">
        <v>225018</v>
      </c>
    </row>
    <row r="89" spans="1:6" x14ac:dyDescent="0.3">
      <c r="A89" s="29" t="s">
        <v>140</v>
      </c>
      <c r="B89" s="30" t="s">
        <v>27</v>
      </c>
      <c r="C89" s="29" t="s">
        <v>50</v>
      </c>
      <c r="D89" s="31" t="s">
        <v>12</v>
      </c>
      <c r="E89" s="31" t="s">
        <v>78</v>
      </c>
      <c r="F89" s="30">
        <v>217252</v>
      </c>
    </row>
    <row r="90" spans="1:6" x14ac:dyDescent="0.3">
      <c r="A90" s="27" t="s">
        <v>141</v>
      </c>
      <c r="B90" s="27" t="s">
        <v>27</v>
      </c>
      <c r="C90" s="28" t="s">
        <v>38</v>
      </c>
      <c r="D90" s="27" t="s">
        <v>12</v>
      </c>
      <c r="E90" s="27" t="s">
        <v>40</v>
      </c>
      <c r="F90" s="27">
        <v>216662</v>
      </c>
    </row>
    <row r="91" spans="1:6" x14ac:dyDescent="0.3">
      <c r="A91" s="28" t="s">
        <v>142</v>
      </c>
      <c r="B91" s="27" t="s">
        <v>27</v>
      </c>
      <c r="C91" s="28" t="s">
        <v>38</v>
      </c>
      <c r="D91" s="27" t="s">
        <v>12</v>
      </c>
      <c r="E91" s="27" t="s">
        <v>53</v>
      </c>
      <c r="F91" s="27">
        <v>217100</v>
      </c>
    </row>
    <row r="92" spans="1:6" x14ac:dyDescent="0.3">
      <c r="A92" s="28" t="s">
        <v>143</v>
      </c>
      <c r="B92" s="27" t="s">
        <v>27</v>
      </c>
      <c r="C92" s="28" t="s">
        <v>38</v>
      </c>
      <c r="D92" s="27" t="s">
        <v>12</v>
      </c>
      <c r="E92" s="27" t="s">
        <v>53</v>
      </c>
      <c r="F92" s="27">
        <v>217559</v>
      </c>
    </row>
    <row r="93" spans="1:6" x14ac:dyDescent="0.3">
      <c r="A93" s="27" t="s">
        <v>144</v>
      </c>
      <c r="B93" s="27" t="s">
        <v>27</v>
      </c>
      <c r="C93" s="28" t="s">
        <v>38</v>
      </c>
      <c r="D93" s="27" t="s">
        <v>12</v>
      </c>
      <c r="E93" s="27" t="s">
        <v>53</v>
      </c>
      <c r="F93" s="27">
        <v>218041</v>
      </c>
    </row>
    <row r="94" spans="1:6" x14ac:dyDescent="0.3">
      <c r="A94" s="27" t="s">
        <v>145</v>
      </c>
      <c r="B94" s="27" t="s">
        <v>27</v>
      </c>
      <c r="C94" s="28" t="s">
        <v>38</v>
      </c>
      <c r="D94" s="27" t="s">
        <v>12</v>
      </c>
      <c r="E94" s="27" t="s">
        <v>53</v>
      </c>
      <c r="F94" s="27">
        <v>218434</v>
      </c>
    </row>
    <row r="95" spans="1:6" x14ac:dyDescent="0.3">
      <c r="A95" s="27" t="s">
        <v>146</v>
      </c>
      <c r="B95" s="27" t="s">
        <v>27</v>
      </c>
      <c r="C95" s="28" t="s">
        <v>38</v>
      </c>
      <c r="D95" s="27" t="s">
        <v>12</v>
      </c>
      <c r="E95" s="27" t="s">
        <v>53</v>
      </c>
      <c r="F95" s="27">
        <v>218467</v>
      </c>
    </row>
    <row r="96" spans="1:6" x14ac:dyDescent="0.3">
      <c r="A96" s="27" t="s">
        <v>147</v>
      </c>
      <c r="B96" s="27" t="s">
        <v>27</v>
      </c>
      <c r="C96" s="28" t="s">
        <v>38</v>
      </c>
      <c r="D96" s="27" t="s">
        <v>12</v>
      </c>
      <c r="E96" s="27" t="s">
        <v>53</v>
      </c>
      <c r="F96" s="27">
        <v>224170</v>
      </c>
    </row>
    <row r="97" spans="1:6" x14ac:dyDescent="0.3">
      <c r="A97" s="27" t="s">
        <v>148</v>
      </c>
      <c r="B97" s="27" t="s">
        <v>27</v>
      </c>
      <c r="C97" s="28" t="s">
        <v>38</v>
      </c>
      <c r="D97" s="27" t="s">
        <v>12</v>
      </c>
      <c r="E97" s="27" t="s">
        <v>53</v>
      </c>
      <c r="F97" s="27">
        <v>224185</v>
      </c>
    </row>
    <row r="98" spans="1:6" x14ac:dyDescent="0.3">
      <c r="A98" s="28" t="s">
        <v>149</v>
      </c>
      <c r="B98" s="27" t="s">
        <v>27</v>
      </c>
      <c r="C98" s="28" t="s">
        <v>43</v>
      </c>
      <c r="D98" s="27" t="s">
        <v>12</v>
      </c>
      <c r="E98" s="27" t="s">
        <v>40</v>
      </c>
      <c r="F98" s="27">
        <v>221397</v>
      </c>
    </row>
    <row r="99" spans="1:6" x14ac:dyDescent="0.3">
      <c r="A99" s="28" t="s">
        <v>150</v>
      </c>
      <c r="B99" s="27" t="s">
        <v>27</v>
      </c>
      <c r="C99" s="28" t="s">
        <v>43</v>
      </c>
      <c r="D99" s="27" t="s">
        <v>12</v>
      </c>
      <c r="E99" s="27" t="s">
        <v>40</v>
      </c>
      <c r="F99" s="27">
        <v>222239</v>
      </c>
    </row>
    <row r="100" spans="1:6" x14ac:dyDescent="0.3">
      <c r="A100" s="28" t="s">
        <v>151</v>
      </c>
      <c r="B100" s="27" t="s">
        <v>27</v>
      </c>
      <c r="C100" s="28" t="s">
        <v>43</v>
      </c>
      <c r="D100" s="27" t="s">
        <v>12</v>
      </c>
      <c r="E100" s="27" t="s">
        <v>40</v>
      </c>
      <c r="F100" s="27">
        <v>222439</v>
      </c>
    </row>
    <row r="101" spans="1:6" x14ac:dyDescent="0.3">
      <c r="A101" s="28" t="s">
        <v>152</v>
      </c>
      <c r="B101" s="27" t="s">
        <v>27</v>
      </c>
      <c r="C101" s="28" t="s">
        <v>43</v>
      </c>
      <c r="D101" s="27" t="s">
        <v>12</v>
      </c>
      <c r="E101" s="27" t="s">
        <v>40</v>
      </c>
      <c r="F101" s="27">
        <v>223180</v>
      </c>
    </row>
    <row r="102" spans="1:6" x14ac:dyDescent="0.3">
      <c r="A102" s="28" t="s">
        <v>153</v>
      </c>
      <c r="B102" s="27" t="s">
        <v>27</v>
      </c>
      <c r="C102" s="28" t="s">
        <v>43</v>
      </c>
      <c r="D102" s="27" t="s">
        <v>12</v>
      </c>
      <c r="E102" s="27" t="s">
        <v>40</v>
      </c>
      <c r="F102" s="27">
        <v>223340</v>
      </c>
    </row>
    <row r="103" spans="1:6" x14ac:dyDescent="0.3">
      <c r="A103" s="28" t="s">
        <v>154</v>
      </c>
      <c r="B103" s="27" t="s">
        <v>27</v>
      </c>
      <c r="C103" s="28" t="s">
        <v>43</v>
      </c>
      <c r="D103" s="27" t="s">
        <v>12</v>
      </c>
      <c r="E103" s="27" t="s">
        <v>40</v>
      </c>
      <c r="F103" s="27">
        <v>224301</v>
      </c>
    </row>
    <row r="104" spans="1:6" x14ac:dyDescent="0.3">
      <c r="A104" s="28" t="s">
        <v>155</v>
      </c>
      <c r="B104" s="27" t="s">
        <v>27</v>
      </c>
      <c r="C104" s="28" t="s">
        <v>43</v>
      </c>
      <c r="D104" s="27" t="s">
        <v>12</v>
      </c>
      <c r="E104" s="27" t="s">
        <v>40</v>
      </c>
      <c r="F104" s="27">
        <v>224305</v>
      </c>
    </row>
    <row r="105" spans="1:6" x14ac:dyDescent="0.3">
      <c r="A105" s="29" t="s">
        <v>156</v>
      </c>
      <c r="B105" s="30" t="s">
        <v>28</v>
      </c>
      <c r="C105" s="29" t="s">
        <v>50</v>
      </c>
      <c r="D105" s="31" t="s">
        <v>12</v>
      </c>
      <c r="E105" s="31" t="s">
        <v>86</v>
      </c>
      <c r="F105" s="30">
        <v>217465</v>
      </c>
    </row>
    <row r="106" spans="1:6" x14ac:dyDescent="0.3">
      <c r="A106" s="28" t="s">
        <v>157</v>
      </c>
      <c r="B106" s="27" t="s">
        <v>28</v>
      </c>
      <c r="C106" s="28" t="s">
        <v>38</v>
      </c>
      <c r="D106" s="27" t="s">
        <v>12</v>
      </c>
      <c r="E106" s="27" t="s">
        <v>53</v>
      </c>
      <c r="F106" s="32">
        <v>219242</v>
      </c>
    </row>
    <row r="107" spans="1:6" x14ac:dyDescent="0.3">
      <c r="A107" s="28" t="s">
        <v>158</v>
      </c>
      <c r="B107" s="27" t="s">
        <v>28</v>
      </c>
      <c r="C107" s="28" t="s">
        <v>38</v>
      </c>
      <c r="D107" s="27" t="s">
        <v>12</v>
      </c>
      <c r="E107" s="27" t="s">
        <v>40</v>
      </c>
      <c r="F107" s="27">
        <v>218720</v>
      </c>
    </row>
    <row r="108" spans="1:6" x14ac:dyDescent="0.3">
      <c r="A108" s="28" t="s">
        <v>159</v>
      </c>
      <c r="B108" s="27" t="s">
        <v>28</v>
      </c>
      <c r="C108" s="28" t="s">
        <v>38</v>
      </c>
      <c r="D108" s="27" t="s">
        <v>12</v>
      </c>
      <c r="E108" s="27" t="s">
        <v>40</v>
      </c>
      <c r="F108" s="27">
        <v>224248</v>
      </c>
    </row>
    <row r="109" spans="1:6" x14ac:dyDescent="0.3">
      <c r="A109" s="28" t="s">
        <v>160</v>
      </c>
      <c r="B109" s="27" t="s">
        <v>28</v>
      </c>
      <c r="C109" s="28" t="s">
        <v>43</v>
      </c>
      <c r="D109" s="27" t="s">
        <v>12</v>
      </c>
      <c r="E109" s="27" t="s">
        <v>40</v>
      </c>
      <c r="F109" s="27">
        <v>222048</v>
      </c>
    </row>
    <row r="110" spans="1:6" x14ac:dyDescent="0.3">
      <c r="A110" s="28" t="s">
        <v>161</v>
      </c>
      <c r="B110" s="27" t="s">
        <v>28</v>
      </c>
      <c r="C110" s="28" t="s">
        <v>43</v>
      </c>
      <c r="D110" s="27" t="s">
        <v>12</v>
      </c>
      <c r="E110" s="27" t="s">
        <v>40</v>
      </c>
      <c r="F110" s="27">
        <v>222241</v>
      </c>
    </row>
    <row r="111" spans="1:6" x14ac:dyDescent="0.3">
      <c r="A111" s="28" t="s">
        <v>162</v>
      </c>
      <c r="B111" s="27" t="s">
        <v>28</v>
      </c>
      <c r="C111" s="28" t="s">
        <v>43</v>
      </c>
      <c r="D111" s="27" t="s">
        <v>12</v>
      </c>
      <c r="E111" s="27" t="s">
        <v>40</v>
      </c>
      <c r="F111" s="27">
        <v>224012</v>
      </c>
    </row>
    <row r="112" spans="1:6" x14ac:dyDescent="0.3">
      <c r="A112" s="28" t="s">
        <v>163</v>
      </c>
      <c r="B112" s="27" t="s">
        <v>28</v>
      </c>
      <c r="C112" s="28" t="s">
        <v>43</v>
      </c>
      <c r="D112" s="27" t="s">
        <v>12</v>
      </c>
      <c r="E112" s="27" t="s">
        <v>40</v>
      </c>
      <c r="F112" s="27">
        <v>224288</v>
      </c>
    </row>
    <row r="113" spans="1:6" x14ac:dyDescent="0.3">
      <c r="A113" s="28" t="s">
        <v>164</v>
      </c>
      <c r="B113" s="27" t="s">
        <v>28</v>
      </c>
      <c r="C113" s="28" t="s">
        <v>43</v>
      </c>
      <c r="D113" s="27" t="s">
        <v>12</v>
      </c>
      <c r="E113" s="27" t="s">
        <v>40</v>
      </c>
      <c r="F113" s="27">
        <v>224259</v>
      </c>
    </row>
    <row r="114" spans="1:6" x14ac:dyDescent="0.3">
      <c r="A114" s="28" t="s">
        <v>165</v>
      </c>
      <c r="B114" s="27" t="s">
        <v>28</v>
      </c>
      <c r="C114" s="28" t="s">
        <v>43</v>
      </c>
      <c r="D114" s="27" t="s">
        <v>12</v>
      </c>
      <c r="E114" s="27" t="s">
        <v>40</v>
      </c>
      <c r="F114" s="27">
        <v>224258</v>
      </c>
    </row>
    <row r="115" spans="1:6" x14ac:dyDescent="0.3">
      <c r="A115" s="28" t="s">
        <v>166</v>
      </c>
      <c r="B115" s="27" t="s">
        <v>28</v>
      </c>
      <c r="C115" s="28" t="s">
        <v>43</v>
      </c>
      <c r="D115" s="27" t="s">
        <v>12</v>
      </c>
      <c r="E115" s="27" t="s">
        <v>40</v>
      </c>
      <c r="F115" s="27">
        <v>225019</v>
      </c>
    </row>
    <row r="116" spans="1:6" x14ac:dyDescent="0.3">
      <c r="A116" s="28" t="s">
        <v>167</v>
      </c>
      <c r="B116" s="27" t="s">
        <v>28</v>
      </c>
      <c r="C116" s="28" t="s">
        <v>117</v>
      </c>
      <c r="D116" s="27" t="s">
        <v>12</v>
      </c>
      <c r="E116" s="27" t="s">
        <v>40</v>
      </c>
      <c r="F116" s="27">
        <v>225083</v>
      </c>
    </row>
    <row r="117" spans="1:6" x14ac:dyDescent="0.3">
      <c r="A117" s="29" t="s">
        <v>168</v>
      </c>
      <c r="B117" s="30" t="s">
        <v>29</v>
      </c>
      <c r="C117" s="29" t="s">
        <v>50</v>
      </c>
      <c r="D117" s="31" t="s">
        <v>12</v>
      </c>
      <c r="E117" s="31" t="s">
        <v>95</v>
      </c>
      <c r="F117" s="30">
        <v>217253</v>
      </c>
    </row>
    <row r="118" spans="1:6" x14ac:dyDescent="0.3">
      <c r="A118" s="28" t="s">
        <v>169</v>
      </c>
      <c r="B118" s="27" t="s">
        <v>29</v>
      </c>
      <c r="C118" s="28" t="s">
        <v>38</v>
      </c>
      <c r="D118" s="27" t="s">
        <v>12</v>
      </c>
      <c r="E118" s="27" t="s">
        <v>40</v>
      </c>
      <c r="F118" s="27">
        <v>217455</v>
      </c>
    </row>
    <row r="119" spans="1:6" x14ac:dyDescent="0.3">
      <c r="A119" s="28" t="s">
        <v>170</v>
      </c>
      <c r="B119" s="27" t="s">
        <v>29</v>
      </c>
      <c r="C119" s="28" t="s">
        <v>38</v>
      </c>
      <c r="D119" s="27" t="s">
        <v>12</v>
      </c>
      <c r="E119" s="27" t="s">
        <v>40</v>
      </c>
      <c r="F119" s="27">
        <v>219141</v>
      </c>
    </row>
    <row r="120" spans="1:6" x14ac:dyDescent="0.3">
      <c r="A120" s="28" t="s">
        <v>171</v>
      </c>
      <c r="B120" s="27" t="s">
        <v>29</v>
      </c>
      <c r="C120" s="28" t="s">
        <v>38</v>
      </c>
      <c r="D120" s="27" t="s">
        <v>12</v>
      </c>
      <c r="E120" s="27" t="s">
        <v>40</v>
      </c>
      <c r="F120" s="27">
        <v>224222</v>
      </c>
    </row>
    <row r="121" spans="1:6" x14ac:dyDescent="0.3">
      <c r="A121" s="28" t="s">
        <v>172</v>
      </c>
      <c r="B121" s="27" t="s">
        <v>29</v>
      </c>
      <c r="C121" s="28" t="s">
        <v>43</v>
      </c>
      <c r="D121" s="27" t="s">
        <v>12</v>
      </c>
      <c r="E121" s="27" t="s">
        <v>40</v>
      </c>
      <c r="F121" s="27">
        <v>219494</v>
      </c>
    </row>
    <row r="122" spans="1:6" x14ac:dyDescent="0.3">
      <c r="A122" s="28" t="s">
        <v>173</v>
      </c>
      <c r="B122" s="27" t="s">
        <v>29</v>
      </c>
      <c r="C122" s="28" t="s">
        <v>43</v>
      </c>
      <c r="D122" s="27" t="s">
        <v>12</v>
      </c>
      <c r="E122" s="27" t="s">
        <v>40</v>
      </c>
      <c r="F122" s="27">
        <v>223003</v>
      </c>
    </row>
    <row r="123" spans="1:6" x14ac:dyDescent="0.3">
      <c r="A123" s="28" t="s">
        <v>174</v>
      </c>
      <c r="B123" s="27" t="s">
        <v>29</v>
      </c>
      <c r="C123" s="28" t="s">
        <v>43</v>
      </c>
      <c r="D123" s="27" t="s">
        <v>12</v>
      </c>
      <c r="E123" s="27" t="s">
        <v>40</v>
      </c>
      <c r="F123" s="27">
        <v>223341</v>
      </c>
    </row>
    <row r="124" spans="1:6" x14ac:dyDescent="0.3">
      <c r="A124" s="28" t="s">
        <v>175</v>
      </c>
      <c r="B124" s="27" t="s">
        <v>29</v>
      </c>
      <c r="C124" s="28" t="s">
        <v>117</v>
      </c>
      <c r="D124" s="27" t="s">
        <v>12</v>
      </c>
      <c r="E124" s="27" t="s">
        <v>40</v>
      </c>
      <c r="F124" s="27">
        <v>250015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E19"/>
  <sheetViews>
    <sheetView showGridLines="0" workbookViewId="0">
      <selection activeCell="G17" sqref="G17"/>
    </sheetView>
  </sheetViews>
  <sheetFormatPr defaultRowHeight="16.5" x14ac:dyDescent="0.3"/>
  <cols>
    <col min="1" max="1" width="2.25" customWidth="1"/>
    <col min="2" max="2" width="14.875" bestFit="1" customWidth="1"/>
    <col min="3" max="3" width="10.25" style="1" bestFit="1" customWidth="1"/>
    <col min="4" max="4" width="8.75" style="1"/>
    <col min="5" max="5" width="14.75" bestFit="1" customWidth="1"/>
  </cols>
  <sheetData>
    <row r="2" spans="2:5" x14ac:dyDescent="0.3">
      <c r="B2" s="20" t="s">
        <v>22</v>
      </c>
    </row>
    <row r="3" spans="2:5" ht="17.25" thickBot="1" x14ac:dyDescent="0.35">
      <c r="B3" s="6" t="s">
        <v>16</v>
      </c>
      <c r="C3" s="7" t="s">
        <v>15</v>
      </c>
      <c r="D3" s="8" t="s">
        <v>17</v>
      </c>
      <c r="E3" s="6" t="s">
        <v>3</v>
      </c>
    </row>
    <row r="4" spans="2:5" ht="17.25" thickBot="1" x14ac:dyDescent="0.35">
      <c r="B4" s="16" t="s">
        <v>11</v>
      </c>
      <c r="C4" s="17" t="e">
        <f>C8+C5+C6+C7</f>
        <v>#REF!</v>
      </c>
      <c r="D4" s="18" t="e">
        <f t="shared" ref="D4:D19" si="0">C4/$C$19</f>
        <v>#REF!</v>
      </c>
      <c r="E4" s="12"/>
    </row>
    <row r="5" spans="2:5" x14ac:dyDescent="0.3">
      <c r="B5" s="2" t="s">
        <v>4</v>
      </c>
      <c r="C5" s="3" t="e">
        <f>COUNTIF(#REF!,B5)</f>
        <v>#REF!</v>
      </c>
      <c r="D5" s="4" t="e">
        <f t="shared" si="0"/>
        <v>#REF!</v>
      </c>
      <c r="E5" s="2"/>
    </row>
    <row r="6" spans="2:5" x14ac:dyDescent="0.3">
      <c r="B6" s="2" t="s">
        <v>5</v>
      </c>
      <c r="C6" s="3" t="e">
        <f>COUNTIF(#REF!,B6)</f>
        <v>#REF!</v>
      </c>
      <c r="D6" s="4" t="e">
        <f t="shared" si="0"/>
        <v>#REF!</v>
      </c>
      <c r="E6" s="2"/>
    </row>
    <row r="7" spans="2:5" x14ac:dyDescent="0.3">
      <c r="B7" s="13" t="s">
        <v>0</v>
      </c>
      <c r="C7" s="14" t="e">
        <f>COUNTIF(#REF!,B7)</f>
        <v>#REF!</v>
      </c>
      <c r="D7" s="15" t="e">
        <f t="shared" si="0"/>
        <v>#REF!</v>
      </c>
      <c r="E7" s="19"/>
    </row>
    <row r="8" spans="2:5" ht="17.25" thickBot="1" x14ac:dyDescent="0.35">
      <c r="B8" s="5" t="s">
        <v>1</v>
      </c>
      <c r="C8" s="21" t="e">
        <f>COUNTIF(#REF!,B8)+COUNTIF(#REF!,"인턴")</f>
        <v>#REF!</v>
      </c>
      <c r="D8" s="22" t="e">
        <f t="shared" si="0"/>
        <v>#REF!</v>
      </c>
      <c r="E8" s="5"/>
    </row>
    <row r="9" spans="2:5" ht="17.25" thickBot="1" x14ac:dyDescent="0.35">
      <c r="B9" s="16" t="s">
        <v>12</v>
      </c>
      <c r="C9" s="17" t="e">
        <f>C14+C11+C12+C13+C10</f>
        <v>#REF!</v>
      </c>
      <c r="D9" s="18" t="e">
        <f t="shared" si="0"/>
        <v>#REF!</v>
      </c>
      <c r="E9" s="12"/>
    </row>
    <row r="10" spans="2:5" x14ac:dyDescent="0.3">
      <c r="B10" s="2" t="s">
        <v>24</v>
      </c>
      <c r="C10" s="3" t="e">
        <f>COUNTIF(#REF!,B10)</f>
        <v>#REF!</v>
      </c>
      <c r="D10" s="4" t="e">
        <f t="shared" si="0"/>
        <v>#REF!</v>
      </c>
      <c r="E10" s="2"/>
    </row>
    <row r="11" spans="2:5" x14ac:dyDescent="0.3">
      <c r="B11" s="2" t="s">
        <v>18</v>
      </c>
      <c r="C11" s="3" t="e">
        <f>COUNTIF(#REF!,B11)</f>
        <v>#REF!</v>
      </c>
      <c r="D11" s="4" t="e">
        <f t="shared" si="0"/>
        <v>#REF!</v>
      </c>
      <c r="E11" s="2"/>
    </row>
    <row r="12" spans="2:5" x14ac:dyDescent="0.3">
      <c r="B12" s="2" t="s">
        <v>5</v>
      </c>
      <c r="C12" s="3" t="e">
        <f>COUNTIF(#REF!,B12)</f>
        <v>#REF!</v>
      </c>
      <c r="D12" s="4" t="e">
        <f t="shared" si="0"/>
        <v>#REF!</v>
      </c>
      <c r="E12" s="2"/>
    </row>
    <row r="13" spans="2:5" x14ac:dyDescent="0.3">
      <c r="B13" s="2" t="s">
        <v>0</v>
      </c>
      <c r="C13" s="3" t="e">
        <f>COUNTIF(#REF!,B13)</f>
        <v>#REF!</v>
      </c>
      <c r="D13" s="4" t="e">
        <f t="shared" si="0"/>
        <v>#REF!</v>
      </c>
      <c r="E13" s="2"/>
    </row>
    <row r="14" spans="2:5" ht="17.25" thickBot="1" x14ac:dyDescent="0.35">
      <c r="B14" s="9" t="s">
        <v>1</v>
      </c>
      <c r="C14" s="10" t="e">
        <f>COUNTIF(#REF!,B14)+COUNTIF(#REF!,"인턴")</f>
        <v>#REF!</v>
      </c>
      <c r="D14" s="11" t="e">
        <f t="shared" si="0"/>
        <v>#REF!</v>
      </c>
      <c r="E14" s="19" t="s">
        <v>25</v>
      </c>
    </row>
    <row r="15" spans="2:5" ht="17.25" thickBot="1" x14ac:dyDescent="0.35">
      <c r="B15" s="16" t="s">
        <v>23</v>
      </c>
      <c r="C15" s="17">
        <f>C16+C18+C17</f>
        <v>6</v>
      </c>
      <c r="D15" s="18" t="e">
        <f t="shared" si="0"/>
        <v>#REF!</v>
      </c>
      <c r="E15" s="12"/>
    </row>
    <row r="16" spans="2:5" x14ac:dyDescent="0.3">
      <c r="B16" s="9" t="s">
        <v>14</v>
      </c>
      <c r="C16" s="10">
        <v>1</v>
      </c>
      <c r="D16" s="11" t="e">
        <f t="shared" si="0"/>
        <v>#REF!</v>
      </c>
      <c r="E16" s="19"/>
    </row>
    <row r="17" spans="2:5" x14ac:dyDescent="0.3">
      <c r="B17" s="13" t="s">
        <v>0</v>
      </c>
      <c r="C17" s="14">
        <v>3</v>
      </c>
      <c r="D17" s="15" t="e">
        <f t="shared" si="0"/>
        <v>#REF!</v>
      </c>
      <c r="E17" s="13"/>
    </row>
    <row r="18" spans="2:5" ht="17.25" thickBot="1" x14ac:dyDescent="0.35">
      <c r="B18" s="2" t="s">
        <v>1</v>
      </c>
      <c r="C18" s="3">
        <v>2</v>
      </c>
      <c r="D18" s="4" t="e">
        <f t="shared" si="0"/>
        <v>#REF!</v>
      </c>
      <c r="E18" s="5"/>
    </row>
    <row r="19" spans="2:5" ht="17.25" thickBot="1" x14ac:dyDescent="0.35">
      <c r="B19" s="16" t="s">
        <v>13</v>
      </c>
      <c r="C19" s="17" t="e">
        <f>C4+C9+C15</f>
        <v>#REF!</v>
      </c>
      <c r="D19" s="18" t="e">
        <f t="shared" si="0"/>
        <v>#REF!</v>
      </c>
      <c r="E19" s="12"/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직급별현황_25.05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정주연</cp:lastModifiedBy>
  <cp:lastPrinted>2025-05-07T00:19:05Z</cp:lastPrinted>
  <dcterms:created xsi:type="dcterms:W3CDTF">2022-10-12T07:33:21Z</dcterms:created>
  <dcterms:modified xsi:type="dcterms:W3CDTF">2025-09-08T07:38:06Z</dcterms:modified>
</cp:coreProperties>
</file>